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0482f88e6f40d4/"/>
    </mc:Choice>
  </mc:AlternateContent>
  <xr:revisionPtr revIDLastSave="42" documentId="8_{D656D2AD-C857-4C6D-B303-FF615CD1EAF7}" xr6:coauthVersionLast="47" xr6:coauthVersionMax="47" xr10:uidLastSave="{C8874DA2-2F5B-472E-A579-9654E882CC90}"/>
  <bookViews>
    <workbookView xWindow="9520" yWindow="3860" windowWidth="28800" windowHeight="15360" xr2:uid="{6AD7449D-9A6E-4497-8C35-9F17AFD07B84}"/>
  </bookViews>
  <sheets>
    <sheet name="Worksheet" sheetId="1" r:id="rId1"/>
    <sheet name="Instructions" sheetId="2" r:id="rId2"/>
  </sheets>
  <definedNames>
    <definedName name="DATE_OF_DIVISION">Worksheet!$B$2</definedName>
    <definedName name="DATE_OF_MARRIAGE">Worksheet!$B$1</definedName>
    <definedName name="PRICE">Worksheet!$B$3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J7" i="1" s="1"/>
  <c r="I8" i="1"/>
  <c r="J8" i="1" s="1"/>
  <c r="I9" i="1"/>
  <c r="J9" i="1" s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6" i="1"/>
  <c r="I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7" i="1"/>
  <c r="E8" i="1"/>
  <c r="F8" i="1" s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7" i="1"/>
  <c r="F7" i="1" s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J33" i="1" l="1" a="1"/>
  <c r="J33" i="1" s="1"/>
  <c r="I33" i="1" a="1"/>
  <c r="I3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<sst xmlns="http://schemas.openxmlformats.org/spreadsheetml/2006/main" count="83" uniqueCount="79">
  <si>
    <t>Tranche ID</t>
  </si>
  <si>
    <t>Grant Date</t>
  </si>
  <si>
    <t>Vesting Date</t>
  </si>
  <si>
    <t>Date of Division</t>
  </si>
  <si>
    <t>Number of Units</t>
  </si>
  <si>
    <t>Date of Marriage</t>
  </si>
  <si>
    <t>Date of Division:</t>
  </si>
  <si>
    <t>Date of Marriage:</t>
  </si>
  <si>
    <t>Stock Price:</t>
  </si>
  <si>
    <t>Price Updated On:</t>
  </si>
  <si>
    <t>Total Vesting Days</t>
  </si>
  <si>
    <t>Vesting Days During Marriage</t>
  </si>
  <si>
    <t>% Community</t>
  </si>
  <si>
    <t>% Separate</t>
  </si>
  <si>
    <t>$ Community</t>
  </si>
  <si>
    <t>$ Separate</t>
  </si>
  <si>
    <t>2024.A</t>
  </si>
  <si>
    <t>2024.B</t>
  </si>
  <si>
    <t>2024.C</t>
  </si>
  <si>
    <t>TOTAL:</t>
  </si>
  <si>
    <t>Participant:</t>
  </si>
  <si>
    <t>Company:</t>
  </si>
  <si>
    <t>PURPOSE</t>
  </si>
  <si>
    <t>The purpose of this spreadsheet is to allocate the value of restricted stock units between the community</t>
  </si>
  <si>
    <t>estate and the separate property estate of the participant.</t>
  </si>
  <si>
    <t>Fill in the areas that are highlighted in GREEN. The areas having a LIGHT GRAY background are automatically</t>
  </si>
  <si>
    <t>computed.</t>
  </si>
  <si>
    <t>GENERAL INSTRUCTIONS</t>
  </si>
  <si>
    <t>This is the date that the parties were married.</t>
  </si>
  <si>
    <t>If the property division was reached informally or at mediation, this is the date the informal settlement</t>
  </si>
  <si>
    <t>agreement was signed, the date the mediated settlement agreement was signed, or the "as of" or "date</t>
  </si>
  <si>
    <t>of division" recited in either of those agreements.</t>
  </si>
  <si>
    <t>If the property division was determined by the judge, this is most likely the date that the judge announced</t>
  </si>
  <si>
    <t>the ruling of the court (date of rendition), which is often the date of the last day of trial but can be another</t>
  </si>
  <si>
    <t>date selected by the judge.</t>
  </si>
  <si>
    <t>If you are using this worksheet to complete an Inventory &amp; Appraisement, you can use the date that you</t>
  </si>
  <si>
    <t>are going to sign the inventory and then provide this worksheet as a supporting schedule.</t>
  </si>
  <si>
    <t>Stock Price</t>
  </si>
  <si>
    <t>If this is a publicly traded stock, this will be the latest closing price of the stock. If there is no public market</t>
  </si>
  <si>
    <t>Price Updated On</t>
  </si>
  <si>
    <t>This is the effective date of the "Stock Price." If you looked it up on-line, then use the date of the day that</t>
  </si>
  <si>
    <t>you looked it up. If this is not a publicly traded company, put the date of the most recent valuation or leave</t>
  </si>
  <si>
    <t>it blank.</t>
  </si>
  <si>
    <t>Participant</t>
  </si>
  <si>
    <t>The name of the company issuing the RSUs.</t>
  </si>
  <si>
    <t>This is the name of the person to whom the RSUs were issued, i.e. the employee name.</t>
  </si>
  <si>
    <t>Company</t>
  </si>
  <si>
    <t>FIELD BY FIELD INSTRUCTIONS - HEADER FIELDS</t>
  </si>
  <si>
    <t>FIELD BY FIELD INSTRUCTIONS - DETAIL ROWS</t>
  </si>
  <si>
    <t>Tranche ID:</t>
  </si>
  <si>
    <t>The tranche name or grant name shown on your statements. If none, use a name that will help</t>
  </si>
  <si>
    <t>you distinguish this tranche or grant from the others, such as a Bates number.</t>
  </si>
  <si>
    <t>Grant Date:</t>
  </si>
  <si>
    <t>The date on which the RSUs were granted.</t>
  </si>
  <si>
    <t>Vesting Date:</t>
  </si>
  <si>
    <t>The date on which the RSUs are fully vested. NOTE: If you were granted RSUs that vest over time,</t>
  </si>
  <si>
    <t xml:space="preserve">enter each vesting date as a different tranche. For example, if you were issued 2,000 RSUs of </t>
  </si>
  <si>
    <t>which 1,000 vest after one year, 500 vest after the second year, and the remaining 500 vest</t>
  </si>
  <si>
    <t>after the third year, create three tranches with the same grant date and different vesting dates.</t>
  </si>
  <si>
    <t>The sample data on the worksheet illustate this situation.</t>
  </si>
  <si>
    <t>for these shares, then either estimate the value OR enter "$0.00". If the stock price is ZERO, the worksheet</t>
  </si>
  <si>
    <t>will divide the RSUs by shares between estates. If the stock price is not ZERO, the worksheet will divide the</t>
  </si>
  <si>
    <t>RSUs by dollar value.</t>
  </si>
  <si>
    <t>[The remaining fields are automatically calculated]</t>
  </si>
  <si>
    <t>Total number of days between the Grant Date and the Vesting Date.</t>
  </si>
  <si>
    <t>The number of Total Vesting Days that fall between the Date of Marriage and the Date of Division.</t>
  </si>
  <si>
    <t>The percentage of the RSUs in that tranche that are community property by application of section</t>
  </si>
  <si>
    <t>3.107 of the Texas Family Code. NOTE: If you pay a fee to exercise a grant, as sometimes is the case</t>
  </si>
  <si>
    <t>when exercising options, and you pay that fee with separate property funds, you may have a</t>
  </si>
  <si>
    <t>reimbursement or separate property property claim to the extent of the amount of separate property</t>
  </si>
  <si>
    <t>funds you used.</t>
  </si>
  <si>
    <t>The percentage of the RSUs in that tranche that are separate property.</t>
  </si>
  <si>
    <t>The dollar value of the community's share of RSUs in that tranche.</t>
  </si>
  <si>
    <t>The dollar value of the participant's separate property estate's share of the RSUs in that tranche.</t>
  </si>
  <si>
    <t># Community</t>
  </si>
  <si>
    <t>The number of RSUs that are owned by the community estate.</t>
  </si>
  <si>
    <t># Separate</t>
  </si>
  <si>
    <t>The number of RSUs that are owned by the participant's seprate property estate.</t>
  </si>
  <si>
    <t>(use a price of ZERO to allocate by UNITS instead of DOLLARS)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</si>
</sst>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6" formatCode="mm/dd/yy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8" fontId="0" fillId="2" borderId="2" xfId="0" applyNumberFormat="1" applyFill="1" applyBorder="1"/>
    <xf numFmtId="166" fontId="0" fillId="2" borderId="2" xfId="0" applyNumberFormat="1" applyFill="1" applyBorder="1"/>
    <xf numFmtId="166" fontId="0" fillId="2" borderId="1" xfId="0" applyNumberFormat="1" applyFill="1" applyBorder="1"/>
    <xf numFmtId="0" fontId="0" fillId="0" borderId="0" xfId="0" applyFill="1" applyBorder="1"/>
    <xf numFmtId="0" fontId="2" fillId="0" borderId="0" xfId="0" applyFont="1" applyAlignment="1">
      <alignment horizontal="right"/>
    </xf>
    <xf numFmtId="0" fontId="0" fillId="2" borderId="3" xfId="0" applyFill="1" applyBorder="1" applyAlignment="1">
      <alignment horizontal="center"/>
    </xf>
    <xf numFmtId="166" fontId="0" fillId="2" borderId="3" xfId="0" applyNumberFormat="1" applyFill="1" applyBorder="1" applyAlignment="1">
      <alignment horizontal="center"/>
    </xf>
    <xf numFmtId="43" fontId="0" fillId="2" borderId="3" xfId="1" applyFont="1" applyFill="1" applyBorder="1"/>
    <xf numFmtId="43" fontId="0" fillId="3" borderId="3" xfId="1" applyFont="1" applyFill="1" applyBorder="1"/>
    <xf numFmtId="43" fontId="0" fillId="3" borderId="3" xfId="0" applyNumberFormat="1" applyFill="1" applyBorder="1"/>
    <xf numFmtId="10" fontId="0" fillId="3" borderId="3" xfId="3" applyNumberFormat="1" applyFont="1" applyFill="1" applyBorder="1"/>
    <xf numFmtId="10" fontId="0" fillId="3" borderId="3" xfId="0" applyNumberFormat="1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/>
    <xf numFmtId="44" fontId="0" fillId="3" borderId="3" xfId="2" applyFont="1" applyFill="1" applyBorder="1" applyAlignment="1">
      <alignment horizontal="right"/>
    </xf>
    <xf numFmtId="44" fontId="2" fillId="3" borderId="4" xfId="0" applyNumberFormat="1" applyFont="1" applyFill="1" applyBorder="1" applyAlignment="1">
      <alignment horizontal="right"/>
    </xf>
    <xf numFmtId="0" fontId="4" fillId="0" borderId="0" xfId="0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2F78C-8389-4496-92D6-99156F320356}">
  <sheetPr>
    <pageSetUpPr fitToPage="1"/>
  </sheetPr>
  <dimension ref="A1:J34"/>
  <sheetViews>
    <sheetView tabSelected="1" workbookViewId="0">
      <selection activeCell="B1" sqref="B1"/>
    </sheetView>
  </sheetViews>
  <sheetFormatPr defaultRowHeight="14.5" x14ac:dyDescent="0.35"/>
  <cols>
    <col min="1" max="1" width="16.6328125" customWidth="1"/>
    <col min="2" max="2" width="12.1796875" customWidth="1"/>
    <col min="3" max="3" width="11.08984375" bestFit="1" customWidth="1"/>
    <col min="4" max="4" width="10.08984375" customWidth="1"/>
    <col min="5" max="5" width="11.7265625" customWidth="1"/>
    <col min="6" max="6" width="15.90625" customWidth="1"/>
    <col min="7" max="10" width="13.6328125" customWidth="1"/>
  </cols>
  <sheetData>
    <row r="1" spans="1:10" x14ac:dyDescent="0.35">
      <c r="A1" s="1" t="s">
        <v>7</v>
      </c>
      <c r="B1" s="6">
        <v>45413</v>
      </c>
      <c r="H1" s="1" t="s">
        <v>20</v>
      </c>
      <c r="I1" s="16"/>
      <c r="J1" s="16"/>
    </row>
    <row r="2" spans="1:10" x14ac:dyDescent="0.35">
      <c r="A2" s="1" t="s">
        <v>6</v>
      </c>
      <c r="B2" s="6">
        <v>46143</v>
      </c>
      <c r="H2" s="1" t="s">
        <v>21</v>
      </c>
      <c r="I2" s="17"/>
      <c r="J2" s="17"/>
    </row>
    <row r="3" spans="1:10" x14ac:dyDescent="0.35">
      <c r="A3" s="1" t="s">
        <v>8</v>
      </c>
      <c r="B3" s="4">
        <v>50</v>
      </c>
      <c r="C3" s="21" t="s">
        <v>78</v>
      </c>
    </row>
    <row r="4" spans="1:10" x14ac:dyDescent="0.35">
      <c r="A4" s="1" t="s">
        <v>9</v>
      </c>
      <c r="B4" s="5">
        <v>46051</v>
      </c>
    </row>
    <row r="5" spans="1:10" x14ac:dyDescent="0.35">
      <c r="B5" s="7"/>
    </row>
    <row r="6" spans="1:10" ht="29" x14ac:dyDescent="0.35">
      <c r="A6" s="3" t="s">
        <v>0</v>
      </c>
      <c r="B6" s="3" t="s">
        <v>1</v>
      </c>
      <c r="C6" s="3" t="s">
        <v>2</v>
      </c>
      <c r="D6" s="2" t="s">
        <v>4</v>
      </c>
      <c r="E6" s="2" t="s">
        <v>10</v>
      </c>
      <c r="F6" s="2" t="s">
        <v>11</v>
      </c>
      <c r="G6" s="3" t="s">
        <v>12</v>
      </c>
      <c r="H6" s="3" t="s">
        <v>13</v>
      </c>
      <c r="I6" s="3" t="str">
        <f>IF(PRICE,"$ Community","# Community")</f>
        <v>$ Community</v>
      </c>
      <c r="J6" s="3" t="str">
        <f>IF(PRICE,"$ Separate","# Separate")</f>
        <v>$ Separate</v>
      </c>
    </row>
    <row r="7" spans="1:10" x14ac:dyDescent="0.35">
      <c r="A7" s="9" t="s">
        <v>16</v>
      </c>
      <c r="B7" s="10">
        <v>45292</v>
      </c>
      <c r="C7" s="10">
        <v>45658</v>
      </c>
      <c r="D7" s="11">
        <v>1000</v>
      </c>
      <c r="E7" s="12">
        <f>IF(LEN(A7),C7-B7,"")</f>
        <v>366</v>
      </c>
      <c r="F7" s="13">
        <f>IF(LEN(A7), E7-IF(B7&lt;DATE_OF_MARRIAGE,DATE_OF_MARRIAGE-B7,0)-IF(C7&gt;DATE_OF_DIVISION,C7-DATE_OF_DIVISION,0),"")</f>
        <v>245</v>
      </c>
      <c r="G7" s="14">
        <f>IF(LEN(A7),ROUND(F7/E7,4),"")</f>
        <v>0.6694</v>
      </c>
      <c r="H7" s="15">
        <f>IF(LEN(A7),1-G7,"")</f>
        <v>0.3306</v>
      </c>
      <c r="I7" s="19" t="str">
        <f>IF(LEN(A7),IF(PRICE,TEXT(PRICE*D7*G7,"$ #,###.00"),TEXT(G7*D7,"#,###.00")),"")</f>
        <v>$ 33,470.00</v>
      </c>
      <c r="J7" s="19" t="str">
        <f>IF(LEN(A7),IF(PRICE,TEXT(PRICE*D7-I7,"$ #,###.00"),TEXT(D7-I7,"#,###.00")),"")</f>
        <v>$ 16,530.00</v>
      </c>
    </row>
    <row r="8" spans="1:10" x14ac:dyDescent="0.35">
      <c r="A8" s="9" t="s">
        <v>17</v>
      </c>
      <c r="B8" s="10">
        <v>45292</v>
      </c>
      <c r="C8" s="10">
        <v>46023</v>
      </c>
      <c r="D8" s="11">
        <v>500</v>
      </c>
      <c r="E8" s="12">
        <f t="shared" ref="E8:E32" si="0">IF(LEN(A8),C8-B8,"")</f>
        <v>731</v>
      </c>
      <c r="F8" s="13">
        <f>IF(LEN(A8), E8-IF(B8&lt;DATE_OF_MARRIAGE,DATE_OF_MARRIAGE-B8,0)-IF(C8&gt;DATE_OF_DIVISION,C8-DATE_OF_DIVISION,0),"")</f>
        <v>610</v>
      </c>
      <c r="G8" s="14">
        <f t="shared" ref="G8:G32" si="1">IF(LEN(A8),ROUND(F8/E8,4),"")</f>
        <v>0.83450000000000002</v>
      </c>
      <c r="H8" s="15">
        <f t="shared" ref="H8:H32" si="2">IF(LEN(A8),1-G8,"")</f>
        <v>0.16549999999999998</v>
      </c>
      <c r="I8" s="19" t="str">
        <f>IF(LEN(A8),IF(PRICE,TEXT(PRICE*D8*G8,"$ #,###.00"),TEXT(G8*D8,"#,###.00")),"")</f>
        <v>$ 20,862.50</v>
      </c>
      <c r="J8" s="19" t="str">
        <f>IF(LEN(A8),IF(PRICE,TEXT(PRICE*D8-I8,"$ #,###.00"),TEXT(D8-I8,"#,###.00")),"")</f>
        <v>$ 4,137.50</v>
      </c>
    </row>
    <row r="9" spans="1:10" x14ac:dyDescent="0.35">
      <c r="A9" s="9" t="s">
        <v>18</v>
      </c>
      <c r="B9" s="10">
        <v>45292</v>
      </c>
      <c r="C9" s="10">
        <v>46388</v>
      </c>
      <c r="D9" s="11">
        <v>500</v>
      </c>
      <c r="E9" s="12">
        <f t="shared" si="0"/>
        <v>1096</v>
      </c>
      <c r="F9" s="13">
        <f>IF(LEN(A9), E9-IF(B9&lt;DATE_OF_MARRIAGE,DATE_OF_MARRIAGE-B9,0)-IF(C9&gt;DATE_OF_DIVISION,C9-DATE_OF_DIVISION,0),"")</f>
        <v>730</v>
      </c>
      <c r="G9" s="14">
        <f t="shared" si="1"/>
        <v>0.66610000000000003</v>
      </c>
      <c r="H9" s="15">
        <f t="shared" si="2"/>
        <v>0.33389999999999997</v>
      </c>
      <c r="I9" s="19" t="str">
        <f>IF(LEN(A9),IF(PRICE,TEXT(PRICE*D9*G9,"$ #,###.00"),TEXT(G9*D9,"#,###.00")),"")</f>
        <v>$ 16,652.50</v>
      </c>
      <c r="J9" s="19" t="str">
        <f>IF(LEN(A9),IF(PRICE,TEXT(PRICE*D9-I9,"$ #,###.00"),TEXT(D9-I9,"#,###.00")),"")</f>
        <v>$ 8,347.50</v>
      </c>
    </row>
    <row r="10" spans="1:10" x14ac:dyDescent="0.35">
      <c r="A10" s="9"/>
      <c r="B10" s="10"/>
      <c r="C10" s="10"/>
      <c r="D10" s="11"/>
      <c r="E10" s="12" t="str">
        <f t="shared" si="0"/>
        <v/>
      </c>
      <c r="F10" s="13" t="str">
        <f>IF(LEN(A10), E10-IF(B10&lt;DATE_OF_MARRIAGE,DATE_OF_MARRIAGE-B10,0)-IF(C10&gt;DATE_OF_DIVISION,C10-DATE_OF_DIVISION,0),"")</f>
        <v/>
      </c>
      <c r="G10" s="14" t="str">
        <f t="shared" si="1"/>
        <v/>
      </c>
      <c r="H10" s="15" t="str">
        <f t="shared" si="2"/>
        <v/>
      </c>
      <c r="I10" s="19" t="str">
        <f>IF(LEN(A10),IF(PRICE,TEXT(PRICE*D10*G10,"$ #,###.00"),TEXT(G10*D10,"#,###.00")),"")</f>
        <v/>
      </c>
      <c r="J10" s="19" t="str">
        <f>IF(LEN(A10),IF(PRICE,TEXT(PRICE*D10-I10,"$ #,###.00"),TEXT(D10-I10,"#,###.00")),"")</f>
        <v/>
      </c>
    </row>
    <row r="11" spans="1:10" x14ac:dyDescent="0.35">
      <c r="A11" s="9"/>
      <c r="B11" s="10"/>
      <c r="C11" s="10"/>
      <c r="D11" s="11"/>
      <c r="E11" s="12" t="str">
        <f t="shared" si="0"/>
        <v/>
      </c>
      <c r="F11" s="13" t="str">
        <f>IF(LEN(A11), E11-IF(B11&lt;DATE_OF_MARRIAGE,DATE_OF_MARRIAGE-B11,0)-IF(C11&gt;DATE_OF_DIVISION,C11-DATE_OF_DIVISION,0),"")</f>
        <v/>
      </c>
      <c r="G11" s="14" t="str">
        <f t="shared" si="1"/>
        <v/>
      </c>
      <c r="H11" s="15" t="str">
        <f t="shared" si="2"/>
        <v/>
      </c>
      <c r="I11" s="19" t="str">
        <f>IF(LEN(A11),IF(PRICE,TEXT(PRICE*D11*G11,"$ #,###.00"),TEXT(G11*D11,"#,###.00")),"")</f>
        <v/>
      </c>
      <c r="J11" s="19" t="str">
        <f>IF(LEN(A11),IF(PRICE,TEXT(PRICE*D11-I11,"$ #,###.00"),TEXT(D11-I11,"#,###.00")),"")</f>
        <v/>
      </c>
    </row>
    <row r="12" spans="1:10" x14ac:dyDescent="0.35">
      <c r="A12" s="9"/>
      <c r="B12" s="10"/>
      <c r="C12" s="10"/>
      <c r="D12" s="11"/>
      <c r="E12" s="12" t="str">
        <f t="shared" si="0"/>
        <v/>
      </c>
      <c r="F12" s="13" t="str">
        <f>IF(LEN(A12), E12-IF(B12&lt;DATE_OF_MARRIAGE,DATE_OF_MARRIAGE-B12,0)-IF(C12&gt;DATE_OF_DIVISION,C12-DATE_OF_DIVISION,0),"")</f>
        <v/>
      </c>
      <c r="G12" s="14" t="str">
        <f t="shared" si="1"/>
        <v/>
      </c>
      <c r="H12" s="15" t="str">
        <f t="shared" si="2"/>
        <v/>
      </c>
      <c r="I12" s="19" t="str">
        <f>IF(LEN(A12),IF(PRICE,TEXT(PRICE*D12*G12,"$ #,###.00"),TEXT(G12*D12,"#,###.00")),"")</f>
        <v/>
      </c>
      <c r="J12" s="19" t="str">
        <f>IF(LEN(A12),IF(PRICE,TEXT(PRICE*D12-I12,"$ #,###.00"),TEXT(D12-I12,"#,###.00")),"")</f>
        <v/>
      </c>
    </row>
    <row r="13" spans="1:10" x14ac:dyDescent="0.35">
      <c r="A13" s="9"/>
      <c r="B13" s="10"/>
      <c r="C13" s="10"/>
      <c r="D13" s="11"/>
      <c r="E13" s="12" t="str">
        <f t="shared" si="0"/>
        <v/>
      </c>
      <c r="F13" s="13" t="str">
        <f>IF(LEN(A13), E13-IF(B13&lt;DATE_OF_MARRIAGE,DATE_OF_MARRIAGE-B13,0)-IF(C13&gt;DATE_OF_DIVISION,C13-DATE_OF_DIVISION,0),"")</f>
        <v/>
      </c>
      <c r="G13" s="14" t="str">
        <f t="shared" si="1"/>
        <v/>
      </c>
      <c r="H13" s="15" t="str">
        <f t="shared" si="2"/>
        <v/>
      </c>
      <c r="I13" s="19" t="str">
        <f>IF(LEN(A13),IF(PRICE,TEXT(PRICE*D13*G13,"$ #,###.00"),TEXT(G13*D13,"#,###.00")),"")</f>
        <v/>
      </c>
      <c r="J13" s="19" t="str">
        <f>IF(LEN(A13),IF(PRICE,TEXT(PRICE*D13-I13,"$ #,###.00"),TEXT(D13-I13,"#,###.00")),"")</f>
        <v/>
      </c>
    </row>
    <row r="14" spans="1:10" x14ac:dyDescent="0.35">
      <c r="A14" s="9"/>
      <c r="B14" s="10"/>
      <c r="C14" s="10"/>
      <c r="D14" s="11"/>
      <c r="E14" s="12" t="str">
        <f t="shared" si="0"/>
        <v/>
      </c>
      <c r="F14" s="13" t="str">
        <f>IF(LEN(A14), E14-IF(B14&lt;DATE_OF_MARRIAGE,DATE_OF_MARRIAGE-B14,0)-IF(C14&gt;DATE_OF_DIVISION,C14-DATE_OF_DIVISION,0),"")</f>
        <v/>
      </c>
      <c r="G14" s="14" t="str">
        <f t="shared" si="1"/>
        <v/>
      </c>
      <c r="H14" s="15" t="str">
        <f t="shared" si="2"/>
        <v/>
      </c>
      <c r="I14" s="19" t="str">
        <f>IF(LEN(A14),IF(PRICE,TEXT(PRICE*D14*G14,"$ #,###.00"),TEXT(G14*D14,"#,###.00")),"")</f>
        <v/>
      </c>
      <c r="J14" s="19" t="str">
        <f>IF(LEN(A14),IF(PRICE,TEXT(PRICE*D14-I14,"$ #,###.00"),TEXT(D14-I14,"#,###.00")),"")</f>
        <v/>
      </c>
    </row>
    <row r="15" spans="1:10" x14ac:dyDescent="0.35">
      <c r="A15" s="9"/>
      <c r="B15" s="10"/>
      <c r="C15" s="10"/>
      <c r="D15" s="11"/>
      <c r="E15" s="12" t="str">
        <f t="shared" si="0"/>
        <v/>
      </c>
      <c r="F15" s="13" t="str">
        <f>IF(LEN(A15), E15-IF(B15&lt;DATE_OF_MARRIAGE,DATE_OF_MARRIAGE-B15,0)-IF(C15&gt;DATE_OF_DIVISION,C15-DATE_OF_DIVISION,0),"")</f>
        <v/>
      </c>
      <c r="G15" s="14" t="str">
        <f t="shared" si="1"/>
        <v/>
      </c>
      <c r="H15" s="15" t="str">
        <f t="shared" si="2"/>
        <v/>
      </c>
      <c r="I15" s="19" t="str">
        <f>IF(LEN(A15),IF(PRICE,TEXT(PRICE*D15*G15,"$ #,###.00"),TEXT(G15*D15,"#,###.00")),"")</f>
        <v/>
      </c>
      <c r="J15" s="19" t="str">
        <f>IF(LEN(A15),IF(PRICE,TEXT(PRICE*D15-I15,"$ #,###.00"),TEXT(D15-I15,"#,###.00")),"")</f>
        <v/>
      </c>
    </row>
    <row r="16" spans="1:10" x14ac:dyDescent="0.35">
      <c r="A16" s="9"/>
      <c r="B16" s="10"/>
      <c r="C16" s="10"/>
      <c r="D16" s="11"/>
      <c r="E16" s="12" t="str">
        <f t="shared" si="0"/>
        <v/>
      </c>
      <c r="F16" s="13" t="str">
        <f>IF(LEN(A16), E16-IF(B16&lt;DATE_OF_MARRIAGE,DATE_OF_MARRIAGE-B16,0)-IF(C16&gt;DATE_OF_DIVISION,C16-DATE_OF_DIVISION,0),"")</f>
        <v/>
      </c>
      <c r="G16" s="14" t="str">
        <f t="shared" si="1"/>
        <v/>
      </c>
      <c r="H16" s="15" t="str">
        <f t="shared" si="2"/>
        <v/>
      </c>
      <c r="I16" s="19" t="str">
        <f>IF(LEN(A16),IF(PRICE,TEXT(PRICE*D16*G16,"$ #,###.00"),TEXT(G16*D16,"#,###.00")),"")</f>
        <v/>
      </c>
      <c r="J16" s="19" t="str">
        <f>IF(LEN(A16),IF(PRICE,TEXT(PRICE*D16-I16,"$ #,###.00"),TEXT(D16-I16,"#,###.00")),"")</f>
        <v/>
      </c>
    </row>
    <row r="17" spans="1:10" x14ac:dyDescent="0.35">
      <c r="A17" s="9"/>
      <c r="B17" s="10"/>
      <c r="C17" s="10"/>
      <c r="D17" s="11"/>
      <c r="E17" s="12" t="str">
        <f t="shared" si="0"/>
        <v/>
      </c>
      <c r="F17" s="13" t="str">
        <f>IF(LEN(A17), E17-IF(B17&lt;DATE_OF_MARRIAGE,DATE_OF_MARRIAGE-B17,0)-IF(C17&gt;DATE_OF_DIVISION,C17-DATE_OF_DIVISION,0),"")</f>
        <v/>
      </c>
      <c r="G17" s="14" t="str">
        <f t="shared" si="1"/>
        <v/>
      </c>
      <c r="H17" s="15" t="str">
        <f t="shared" si="2"/>
        <v/>
      </c>
      <c r="I17" s="19" t="str">
        <f>IF(LEN(A17),IF(PRICE,TEXT(PRICE*D17*G17,"$ #,###.00"),TEXT(G17*D17,"#,###.00")),"")</f>
        <v/>
      </c>
      <c r="J17" s="19" t="str">
        <f>IF(LEN(A17),IF(PRICE,TEXT(PRICE*D17-I17,"$ #,###.00"),TEXT(D17-I17,"#,###.00")),"")</f>
        <v/>
      </c>
    </row>
    <row r="18" spans="1:10" x14ac:dyDescent="0.35">
      <c r="A18" s="9"/>
      <c r="B18" s="10"/>
      <c r="C18" s="10"/>
      <c r="D18" s="11"/>
      <c r="E18" s="12" t="str">
        <f t="shared" si="0"/>
        <v/>
      </c>
      <c r="F18" s="13" t="str">
        <f>IF(LEN(A18), E18-IF(B18&lt;DATE_OF_MARRIAGE,DATE_OF_MARRIAGE-B18,0)-IF(C18&gt;DATE_OF_DIVISION,C18-DATE_OF_DIVISION,0),"")</f>
        <v/>
      </c>
      <c r="G18" s="14" t="str">
        <f t="shared" si="1"/>
        <v/>
      </c>
      <c r="H18" s="15" t="str">
        <f t="shared" si="2"/>
        <v/>
      </c>
      <c r="I18" s="19" t="str">
        <f>IF(LEN(A18),IF(PRICE,TEXT(PRICE*D18*G18,"$ #,###.00"),TEXT(G18*D18,"#,###.00")),"")</f>
        <v/>
      </c>
      <c r="J18" s="19" t="str">
        <f>IF(LEN(A18),IF(PRICE,TEXT(PRICE*D18-I18,"$ #,###.00"),TEXT(D18-I18,"#,###.00")),"")</f>
        <v/>
      </c>
    </row>
    <row r="19" spans="1:10" x14ac:dyDescent="0.35">
      <c r="A19" s="9"/>
      <c r="B19" s="10"/>
      <c r="C19" s="10"/>
      <c r="D19" s="11"/>
      <c r="E19" s="12" t="str">
        <f t="shared" si="0"/>
        <v/>
      </c>
      <c r="F19" s="13" t="str">
        <f>IF(LEN(A19), E19-IF(B19&lt;DATE_OF_MARRIAGE,DATE_OF_MARRIAGE-B19,0)-IF(C19&gt;DATE_OF_DIVISION,C19-DATE_OF_DIVISION,0),"")</f>
        <v/>
      </c>
      <c r="G19" s="14" t="str">
        <f t="shared" si="1"/>
        <v/>
      </c>
      <c r="H19" s="15" t="str">
        <f t="shared" si="2"/>
        <v/>
      </c>
      <c r="I19" s="19" t="str">
        <f>IF(LEN(A19),IF(PRICE,TEXT(PRICE*D19*G19,"$ #,###.00"),TEXT(G19*D19,"#,###.00")),"")</f>
        <v/>
      </c>
      <c r="J19" s="19" t="str">
        <f>IF(LEN(A19),IF(PRICE,TEXT(PRICE*D19-I19,"$ #,###.00"),TEXT(D19-I19,"#,###.00")),"")</f>
        <v/>
      </c>
    </row>
    <row r="20" spans="1:10" x14ac:dyDescent="0.35">
      <c r="A20" s="9"/>
      <c r="B20" s="10"/>
      <c r="C20" s="10"/>
      <c r="D20" s="11"/>
      <c r="E20" s="12" t="str">
        <f t="shared" si="0"/>
        <v/>
      </c>
      <c r="F20" s="13" t="str">
        <f>IF(LEN(A20), E20-IF(B20&lt;DATE_OF_MARRIAGE,DATE_OF_MARRIAGE-B20,0)-IF(C20&gt;DATE_OF_DIVISION,C20-DATE_OF_DIVISION,0),"")</f>
        <v/>
      </c>
      <c r="G20" s="14" t="str">
        <f t="shared" si="1"/>
        <v/>
      </c>
      <c r="H20" s="15" t="str">
        <f t="shared" si="2"/>
        <v/>
      </c>
      <c r="I20" s="19" t="str">
        <f>IF(LEN(A20),IF(PRICE,TEXT(PRICE*D20*G20,"$ #,###.00"),TEXT(G20*D20,"#,###.00")),"")</f>
        <v/>
      </c>
      <c r="J20" s="19" t="str">
        <f>IF(LEN(A20),IF(PRICE,TEXT(PRICE*D20-I20,"$ #,###.00"),TEXT(D20-I20,"#,###.00")),"")</f>
        <v/>
      </c>
    </row>
    <row r="21" spans="1:10" x14ac:dyDescent="0.35">
      <c r="A21" s="9"/>
      <c r="B21" s="10"/>
      <c r="C21" s="10"/>
      <c r="D21" s="11"/>
      <c r="E21" s="12" t="str">
        <f t="shared" si="0"/>
        <v/>
      </c>
      <c r="F21" s="13" t="str">
        <f>IF(LEN(A21), E21-IF(B21&lt;DATE_OF_MARRIAGE,DATE_OF_MARRIAGE-B21,0)-IF(C21&gt;DATE_OF_DIVISION,C21-DATE_OF_DIVISION,0),"")</f>
        <v/>
      </c>
      <c r="G21" s="14" t="str">
        <f t="shared" si="1"/>
        <v/>
      </c>
      <c r="H21" s="15" t="str">
        <f t="shared" si="2"/>
        <v/>
      </c>
      <c r="I21" s="19" t="str">
        <f>IF(LEN(A21),IF(PRICE,TEXT(PRICE*D21*G21,"$ #,###.00"),TEXT(G21*D21,"#,###.00")),"")</f>
        <v/>
      </c>
      <c r="J21" s="19" t="str">
        <f>IF(LEN(A21),IF(PRICE,TEXT(PRICE*D21-I21,"$ #,###.00"),TEXT(D21-I21,"#,###.00")),"")</f>
        <v/>
      </c>
    </row>
    <row r="22" spans="1:10" x14ac:dyDescent="0.35">
      <c r="A22" s="9"/>
      <c r="B22" s="10"/>
      <c r="C22" s="10"/>
      <c r="D22" s="11"/>
      <c r="E22" s="12" t="str">
        <f t="shared" si="0"/>
        <v/>
      </c>
      <c r="F22" s="13" t="str">
        <f>IF(LEN(A22), E22-IF(B22&lt;DATE_OF_MARRIAGE,DATE_OF_MARRIAGE-B22,0)-IF(C22&gt;DATE_OF_DIVISION,C22-DATE_OF_DIVISION,0),"")</f>
        <v/>
      </c>
      <c r="G22" s="14" t="str">
        <f t="shared" si="1"/>
        <v/>
      </c>
      <c r="H22" s="15" t="str">
        <f t="shared" si="2"/>
        <v/>
      </c>
      <c r="I22" s="19" t="str">
        <f>IF(LEN(A22),IF(PRICE,TEXT(PRICE*D22*G22,"$ #,###.00"),TEXT(G22*D22,"#,###.00")),"")</f>
        <v/>
      </c>
      <c r="J22" s="19" t="str">
        <f>IF(LEN(A22),IF(PRICE,TEXT(PRICE*D22-I22,"$ #,###.00"),TEXT(D22-I22,"#,###.00")),"")</f>
        <v/>
      </c>
    </row>
    <row r="23" spans="1:10" x14ac:dyDescent="0.35">
      <c r="A23" s="9"/>
      <c r="B23" s="10"/>
      <c r="C23" s="10"/>
      <c r="D23" s="11"/>
      <c r="E23" s="12" t="str">
        <f t="shared" si="0"/>
        <v/>
      </c>
      <c r="F23" s="13" t="str">
        <f>IF(LEN(A23), E23-IF(B23&lt;DATE_OF_MARRIAGE,DATE_OF_MARRIAGE-B23,0)-IF(C23&gt;DATE_OF_DIVISION,C23-DATE_OF_DIVISION,0),"")</f>
        <v/>
      </c>
      <c r="G23" s="14" t="str">
        <f t="shared" si="1"/>
        <v/>
      </c>
      <c r="H23" s="15" t="str">
        <f t="shared" si="2"/>
        <v/>
      </c>
      <c r="I23" s="19" t="str">
        <f>IF(LEN(A23),IF(PRICE,TEXT(PRICE*D23*G23,"$ #,###.00"),TEXT(G23*D23,"#,###.00")),"")</f>
        <v/>
      </c>
      <c r="J23" s="19" t="str">
        <f>IF(LEN(A23),IF(PRICE,TEXT(PRICE*D23-I23,"$ #,###.00"),TEXT(D23-I23,"#,###.00")),"")</f>
        <v/>
      </c>
    </row>
    <row r="24" spans="1:10" x14ac:dyDescent="0.35">
      <c r="A24" s="9"/>
      <c r="B24" s="10"/>
      <c r="C24" s="10"/>
      <c r="D24" s="11"/>
      <c r="E24" s="12" t="str">
        <f t="shared" si="0"/>
        <v/>
      </c>
      <c r="F24" s="13" t="str">
        <f>IF(LEN(A24), E24-IF(B24&lt;DATE_OF_MARRIAGE,DATE_OF_MARRIAGE-B24,0)-IF(C24&gt;DATE_OF_DIVISION,C24-DATE_OF_DIVISION,0),"")</f>
        <v/>
      </c>
      <c r="G24" s="14" t="str">
        <f t="shared" si="1"/>
        <v/>
      </c>
      <c r="H24" s="15" t="str">
        <f t="shared" si="2"/>
        <v/>
      </c>
      <c r="I24" s="19" t="str">
        <f>IF(LEN(A24),IF(PRICE,TEXT(PRICE*D24*G24,"$ #,###.00"),TEXT(G24*D24,"#,###.00")),"")</f>
        <v/>
      </c>
      <c r="J24" s="19" t="str">
        <f>IF(LEN(A24),IF(PRICE,TEXT(PRICE*D24-I24,"$ #,###.00"),TEXT(D24-I24,"#,###.00")),"")</f>
        <v/>
      </c>
    </row>
    <row r="25" spans="1:10" x14ac:dyDescent="0.35">
      <c r="A25" s="9"/>
      <c r="B25" s="10"/>
      <c r="C25" s="10"/>
      <c r="D25" s="11"/>
      <c r="E25" s="12" t="str">
        <f t="shared" si="0"/>
        <v/>
      </c>
      <c r="F25" s="13" t="str">
        <f>IF(LEN(A25), E25-IF(B25&lt;DATE_OF_MARRIAGE,DATE_OF_MARRIAGE-B25,0)-IF(C25&gt;DATE_OF_DIVISION,C25-DATE_OF_DIVISION,0),"")</f>
        <v/>
      </c>
      <c r="G25" s="14" t="str">
        <f t="shared" si="1"/>
        <v/>
      </c>
      <c r="H25" s="15" t="str">
        <f t="shared" si="2"/>
        <v/>
      </c>
      <c r="I25" s="19" t="str">
        <f>IF(LEN(A25),IF(PRICE,TEXT(PRICE*D25*G25,"$ #,###.00"),TEXT(G25*D25,"#,###.00")),"")</f>
        <v/>
      </c>
      <c r="J25" s="19" t="str">
        <f>IF(LEN(A25),IF(PRICE,TEXT(PRICE*D25-I25,"$ #,###.00"),TEXT(D25-I25,"#,###.00")),"")</f>
        <v/>
      </c>
    </row>
    <row r="26" spans="1:10" x14ac:dyDescent="0.35">
      <c r="A26" s="9"/>
      <c r="B26" s="10"/>
      <c r="C26" s="10"/>
      <c r="D26" s="11"/>
      <c r="E26" s="12" t="str">
        <f t="shared" si="0"/>
        <v/>
      </c>
      <c r="F26" s="13" t="str">
        <f>IF(LEN(A26), E26-IF(B26&lt;DATE_OF_MARRIAGE,DATE_OF_MARRIAGE-B26,0)-IF(C26&gt;DATE_OF_DIVISION,C26-DATE_OF_DIVISION,0),"")</f>
        <v/>
      </c>
      <c r="G26" s="14" t="str">
        <f t="shared" si="1"/>
        <v/>
      </c>
      <c r="H26" s="15" t="str">
        <f t="shared" si="2"/>
        <v/>
      </c>
      <c r="I26" s="19" t="str">
        <f>IF(LEN(A26),IF(PRICE,TEXT(PRICE*D26*G26,"$ #,###.00"),TEXT(G26*D26,"#,###.00")),"")</f>
        <v/>
      </c>
      <c r="J26" s="19" t="str">
        <f>IF(LEN(A26),IF(PRICE,TEXT(PRICE*D26-I26,"$ #,###.00"),TEXT(D26-I26,"#,###.00")),"")</f>
        <v/>
      </c>
    </row>
    <row r="27" spans="1:10" x14ac:dyDescent="0.35">
      <c r="A27" s="9"/>
      <c r="B27" s="10"/>
      <c r="C27" s="10"/>
      <c r="D27" s="11"/>
      <c r="E27" s="12" t="str">
        <f t="shared" si="0"/>
        <v/>
      </c>
      <c r="F27" s="13" t="str">
        <f>IF(LEN(A27), E27-IF(B27&lt;DATE_OF_MARRIAGE,DATE_OF_MARRIAGE-B27,0)-IF(C27&gt;DATE_OF_DIVISION,C27-DATE_OF_DIVISION,0),"")</f>
        <v/>
      </c>
      <c r="G27" s="14" t="str">
        <f t="shared" si="1"/>
        <v/>
      </c>
      <c r="H27" s="15" t="str">
        <f t="shared" si="2"/>
        <v/>
      </c>
      <c r="I27" s="19" t="str">
        <f>IF(LEN(A27),IF(PRICE,TEXT(PRICE*D27*G27,"$ #,###.00"),TEXT(G27*D27,"#,###.00")),"")</f>
        <v/>
      </c>
      <c r="J27" s="19" t="str">
        <f>IF(LEN(A27),IF(PRICE,TEXT(PRICE*D27-I27,"$ #,###.00"),TEXT(D27-I27,"#,###.00")),"")</f>
        <v/>
      </c>
    </row>
    <row r="28" spans="1:10" x14ac:dyDescent="0.35">
      <c r="A28" s="9"/>
      <c r="B28" s="10"/>
      <c r="C28" s="10"/>
      <c r="D28" s="11"/>
      <c r="E28" s="12" t="str">
        <f t="shared" si="0"/>
        <v/>
      </c>
      <c r="F28" s="13" t="str">
        <f>IF(LEN(A28), E28-IF(B28&lt;DATE_OF_MARRIAGE,DATE_OF_MARRIAGE-B28,0)-IF(C28&gt;DATE_OF_DIVISION,C28-DATE_OF_DIVISION,0),"")</f>
        <v/>
      </c>
      <c r="G28" s="14" t="str">
        <f t="shared" si="1"/>
        <v/>
      </c>
      <c r="H28" s="15" t="str">
        <f t="shared" si="2"/>
        <v/>
      </c>
      <c r="I28" s="19" t="str">
        <f>IF(LEN(A28),IF(PRICE,TEXT(PRICE*D28*G28,"$ #,###.00"),TEXT(G28*D28,"#,###.00")),"")</f>
        <v/>
      </c>
      <c r="J28" s="19" t="str">
        <f>IF(LEN(A28),IF(PRICE,TEXT(PRICE*D28-I28,"$ #,###.00"),TEXT(D28-I28,"#,###.00")),"")</f>
        <v/>
      </c>
    </row>
    <row r="29" spans="1:10" x14ac:dyDescent="0.35">
      <c r="A29" s="9"/>
      <c r="B29" s="10"/>
      <c r="C29" s="10"/>
      <c r="D29" s="11"/>
      <c r="E29" s="12" t="str">
        <f t="shared" si="0"/>
        <v/>
      </c>
      <c r="F29" s="13" t="str">
        <f>IF(LEN(A29), E29-IF(B29&lt;DATE_OF_MARRIAGE,DATE_OF_MARRIAGE-B29,0)-IF(C29&gt;DATE_OF_DIVISION,C29-DATE_OF_DIVISION,0),"")</f>
        <v/>
      </c>
      <c r="G29" s="14" t="str">
        <f t="shared" si="1"/>
        <v/>
      </c>
      <c r="H29" s="15" t="str">
        <f t="shared" si="2"/>
        <v/>
      </c>
      <c r="I29" s="19" t="str">
        <f>IF(LEN(A29),IF(PRICE,TEXT(PRICE*D29*G29,"$ #,###.00"),TEXT(G29*D29,"#,###.00")),"")</f>
        <v/>
      </c>
      <c r="J29" s="19" t="str">
        <f>IF(LEN(A29),IF(PRICE,TEXT(PRICE*D29-I29,"$ #,###.00"),TEXT(D29-I29,"#,###.00")),"")</f>
        <v/>
      </c>
    </row>
    <row r="30" spans="1:10" x14ac:dyDescent="0.35">
      <c r="A30" s="9"/>
      <c r="B30" s="10"/>
      <c r="C30" s="10"/>
      <c r="D30" s="11"/>
      <c r="E30" s="12" t="str">
        <f t="shared" si="0"/>
        <v/>
      </c>
      <c r="F30" s="13" t="str">
        <f>IF(LEN(A30), E30-IF(B30&lt;DATE_OF_MARRIAGE,DATE_OF_MARRIAGE-B30,0)-IF(C30&gt;DATE_OF_DIVISION,C30-DATE_OF_DIVISION,0),"")</f>
        <v/>
      </c>
      <c r="G30" s="14" t="str">
        <f t="shared" si="1"/>
        <v/>
      </c>
      <c r="H30" s="15" t="str">
        <f t="shared" si="2"/>
        <v/>
      </c>
      <c r="I30" s="19" t="str">
        <f>IF(LEN(A30),IF(PRICE,TEXT(PRICE*D30*G30,"$ #,###.00"),TEXT(G30*D30,"#,###.00")),"")</f>
        <v/>
      </c>
      <c r="J30" s="19" t="str">
        <f>IF(LEN(A30),IF(PRICE,TEXT(PRICE*D30-I30,"$ #,###.00"),TEXT(D30-I30,"#,###.00")),"")</f>
        <v/>
      </c>
    </row>
    <row r="31" spans="1:10" x14ac:dyDescent="0.35">
      <c r="A31" s="9"/>
      <c r="B31" s="10"/>
      <c r="C31" s="10"/>
      <c r="D31" s="11"/>
      <c r="E31" s="12" t="str">
        <f t="shared" si="0"/>
        <v/>
      </c>
      <c r="F31" s="13" t="str">
        <f>IF(LEN(A31), E31-IF(B31&lt;DATE_OF_MARRIAGE,DATE_OF_MARRIAGE-B31,0)-IF(C31&gt;DATE_OF_DIVISION,C31-DATE_OF_DIVISION,0),"")</f>
        <v/>
      </c>
      <c r="G31" s="14" t="str">
        <f t="shared" si="1"/>
        <v/>
      </c>
      <c r="H31" s="15" t="str">
        <f t="shared" si="2"/>
        <v/>
      </c>
      <c r="I31" s="19" t="str">
        <f>IF(LEN(A31),IF(PRICE,TEXT(PRICE*D31*G31,"$ #,###.00"),TEXT(G31*D31,"#,###.00")),"")</f>
        <v/>
      </c>
      <c r="J31" s="19" t="str">
        <f>IF(LEN(A31),IF(PRICE,TEXT(PRICE*D31-I31,"$ #,###.00"),TEXT(D31-I31,"#,###.00")),"")</f>
        <v/>
      </c>
    </row>
    <row r="32" spans="1:10" x14ac:dyDescent="0.35">
      <c r="A32" s="9"/>
      <c r="B32" s="10"/>
      <c r="C32" s="10"/>
      <c r="D32" s="11"/>
      <c r="E32" s="12" t="str">
        <f t="shared" si="0"/>
        <v/>
      </c>
      <c r="F32" s="13" t="str">
        <f>IF(LEN(A32), E32-IF(B32&lt;DATE_OF_MARRIAGE,DATE_OF_MARRIAGE-B32,0)-IF(C32&gt;DATE_OF_DIVISION,C32-DATE_OF_DIVISION,0),"")</f>
        <v/>
      </c>
      <c r="G32" s="14" t="str">
        <f t="shared" si="1"/>
        <v/>
      </c>
      <c r="H32" s="15" t="str">
        <f t="shared" si="2"/>
        <v/>
      </c>
      <c r="I32" s="19" t="str">
        <f>IF(LEN(A32),IF(PRICE,TEXT(PRICE*D32*G32,"$ #,###.00"),TEXT(G32*D32,"#,###.00")),"")</f>
        <v/>
      </c>
      <c r="J32" s="19" t="str">
        <f>IF(LEN(A32),IF(PRICE,TEXT(PRICE*D32-I32,"$ #,###.00"),TEXT(D32-I32,"#,###.00")),"")</f>
        <v/>
      </c>
    </row>
    <row r="33" spans="8:10" ht="15" thickBot="1" x14ac:dyDescent="0.4">
      <c r="H33" s="8" t="s">
        <v>19</v>
      </c>
      <c r="I33" s="20" t="str" cm="1">
        <f t="array" ref="I33">IF(PRICE,TEXT(SUM(_xlfn.NUMBERVALUE(I7:I32)),"$ #,###.00"),TEXT(SUM(_xlfn.NUMBERVALUE(I7:I32)),"#,###.00"))</f>
        <v>$ 70,985.00</v>
      </c>
      <c r="J33" s="20" t="str" cm="1">
        <f t="array" ref="J33">IF(PRICE,TEXT(SUM(_xlfn.NUMBERVALUE(J7:J32)),"$ #,###.00"),TEXT(SUM(_xlfn.NUMBERVALUE(J7:J32)),"#,###.00"))</f>
        <v>$ 29,015.00</v>
      </c>
    </row>
    <row r="34" spans="8:10" ht="15" thickTop="1" x14ac:dyDescent="0.35"/>
  </sheetData>
  <mergeCells count="2">
    <mergeCell ref="I1:J1"/>
    <mergeCell ref="I2:J2"/>
  </mergeCells>
  <pageMargins left="0.7" right="0.7" top="0.75" bottom="0.75" header="0.3" footer="0.3"/>
  <pageSetup scale="92" orientation="landscape" r:id="rId1"/>
  <headerFooter>
    <oddHeader>&amp;C&amp;"-,Bold"&amp;14RESTRICTED STOCK UNIT ALLOCATION</oddHeader>
    <oddFooter>&amp;LKoonsFuller, P.C.&amp;C&amp;"-,Bold"&amp;KC00000Privileged and Confidential&amp;Rwww.KoonsFuller.com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27FE6-9C03-4BA7-A4B3-67C09C2C584C}">
  <sheetPr>
    <pageSetUpPr fitToPage="1"/>
  </sheetPr>
  <dimension ref="A1:B84"/>
  <sheetViews>
    <sheetView workbookViewId="0">
      <selection activeCell="A58" sqref="A58"/>
    </sheetView>
  </sheetViews>
  <sheetFormatPr defaultRowHeight="14.5" x14ac:dyDescent="0.35"/>
  <cols>
    <col min="1" max="1" width="13" customWidth="1"/>
  </cols>
  <sheetData>
    <row r="1" spans="1:1" x14ac:dyDescent="0.35">
      <c r="A1" s="1" t="s">
        <v>22</v>
      </c>
    </row>
    <row r="2" spans="1:1" x14ac:dyDescent="0.35">
      <c r="A2" t="s">
        <v>23</v>
      </c>
    </row>
    <row r="3" spans="1:1" x14ac:dyDescent="0.35">
      <c r="A3" t="s">
        <v>24</v>
      </c>
    </row>
    <row r="5" spans="1:1" x14ac:dyDescent="0.35">
      <c r="A5" s="1" t="s">
        <v>27</v>
      </c>
    </row>
    <row r="6" spans="1:1" x14ac:dyDescent="0.35">
      <c r="A6" t="s">
        <v>25</v>
      </c>
    </row>
    <row r="7" spans="1:1" x14ac:dyDescent="0.35">
      <c r="A7" t="s">
        <v>26</v>
      </c>
    </row>
    <row r="9" spans="1:1" x14ac:dyDescent="0.35">
      <c r="A9" s="1" t="s">
        <v>47</v>
      </c>
    </row>
    <row r="11" spans="1:1" x14ac:dyDescent="0.35">
      <c r="A11" s="1" t="s">
        <v>5</v>
      </c>
    </row>
    <row r="12" spans="1:1" x14ac:dyDescent="0.35">
      <c r="A12" t="s">
        <v>28</v>
      </c>
    </row>
    <row r="14" spans="1:1" x14ac:dyDescent="0.35">
      <c r="A14" s="1" t="s">
        <v>3</v>
      </c>
    </row>
    <row r="15" spans="1:1" x14ac:dyDescent="0.35">
      <c r="A15" t="s">
        <v>29</v>
      </c>
    </row>
    <row r="16" spans="1:1" x14ac:dyDescent="0.35">
      <c r="A16" t="s">
        <v>30</v>
      </c>
    </row>
    <row r="17" spans="1:1" x14ac:dyDescent="0.35">
      <c r="A17" t="s">
        <v>31</v>
      </c>
    </row>
    <row r="19" spans="1:1" x14ac:dyDescent="0.35">
      <c r="A19" t="s">
        <v>32</v>
      </c>
    </row>
    <row r="20" spans="1:1" x14ac:dyDescent="0.35">
      <c r="A20" t="s">
        <v>33</v>
      </c>
    </row>
    <row r="21" spans="1:1" x14ac:dyDescent="0.35">
      <c r="A21" t="s">
        <v>34</v>
      </c>
    </row>
    <row r="23" spans="1:1" x14ac:dyDescent="0.35">
      <c r="A23" t="s">
        <v>35</v>
      </c>
    </row>
    <row r="24" spans="1:1" x14ac:dyDescent="0.35">
      <c r="A24" t="s">
        <v>36</v>
      </c>
    </row>
    <row r="26" spans="1:1" x14ac:dyDescent="0.35">
      <c r="A26" s="1" t="s">
        <v>37</v>
      </c>
    </row>
    <row r="27" spans="1:1" x14ac:dyDescent="0.35">
      <c r="A27" t="s">
        <v>38</v>
      </c>
    </row>
    <row r="28" spans="1:1" x14ac:dyDescent="0.35">
      <c r="A28" t="s">
        <v>60</v>
      </c>
    </row>
    <row r="29" spans="1:1" x14ac:dyDescent="0.35">
      <c r="A29" t="s">
        <v>61</v>
      </c>
    </row>
    <row r="30" spans="1:1" x14ac:dyDescent="0.35">
      <c r="A30" t="s">
        <v>62</v>
      </c>
    </row>
    <row r="32" spans="1:1" x14ac:dyDescent="0.35">
      <c r="A32" s="1" t="s">
        <v>39</v>
      </c>
    </row>
    <row r="33" spans="1:2" x14ac:dyDescent="0.35">
      <c r="A33" t="s">
        <v>40</v>
      </c>
    </row>
    <row r="34" spans="1:2" x14ac:dyDescent="0.35">
      <c r="A34" t="s">
        <v>41</v>
      </c>
    </row>
    <row r="35" spans="1:2" x14ac:dyDescent="0.35">
      <c r="A35" t="s">
        <v>42</v>
      </c>
    </row>
    <row r="37" spans="1:2" x14ac:dyDescent="0.35">
      <c r="A37" s="1" t="s">
        <v>43</v>
      </c>
    </row>
    <row r="38" spans="1:2" x14ac:dyDescent="0.35">
      <c r="A38" t="s">
        <v>45</v>
      </c>
    </row>
    <row r="40" spans="1:2" x14ac:dyDescent="0.35">
      <c r="A40" s="1" t="s">
        <v>46</v>
      </c>
    </row>
    <row r="41" spans="1:2" x14ac:dyDescent="0.35">
      <c r="A41" t="s">
        <v>44</v>
      </c>
    </row>
    <row r="43" spans="1:2" x14ac:dyDescent="0.35">
      <c r="A43" s="1" t="s">
        <v>48</v>
      </c>
    </row>
    <row r="45" spans="1:2" x14ac:dyDescent="0.35">
      <c r="A45" s="1" t="s">
        <v>49</v>
      </c>
      <c r="B45" t="s">
        <v>50</v>
      </c>
    </row>
    <row r="46" spans="1:2" x14ac:dyDescent="0.35">
      <c r="B46" t="s">
        <v>51</v>
      </c>
    </row>
    <row r="48" spans="1:2" x14ac:dyDescent="0.35">
      <c r="A48" s="1" t="s">
        <v>52</v>
      </c>
      <c r="B48" t="s">
        <v>53</v>
      </c>
    </row>
    <row r="50" spans="1:2" x14ac:dyDescent="0.35">
      <c r="A50" s="1" t="s">
        <v>54</v>
      </c>
      <c r="B50" t="s">
        <v>55</v>
      </c>
    </row>
    <row r="51" spans="1:2" x14ac:dyDescent="0.35">
      <c r="B51" t="s">
        <v>56</v>
      </c>
    </row>
    <row r="52" spans="1:2" x14ac:dyDescent="0.35">
      <c r="B52" t="s">
        <v>57</v>
      </c>
    </row>
    <row r="53" spans="1:2" x14ac:dyDescent="0.35">
      <c r="B53" t="s">
        <v>58</v>
      </c>
    </row>
    <row r="54" spans="1:2" x14ac:dyDescent="0.35">
      <c r="B54" t="s">
        <v>59</v>
      </c>
    </row>
    <row r="56" spans="1:2" x14ac:dyDescent="0.35">
      <c r="A56" s="18" t="s">
        <v>63</v>
      </c>
    </row>
    <row r="58" spans="1:2" x14ac:dyDescent="0.35">
      <c r="A58" s="1" t="s">
        <v>10</v>
      </c>
    </row>
    <row r="59" spans="1:2" x14ac:dyDescent="0.35">
      <c r="A59" t="s">
        <v>64</v>
      </c>
    </row>
    <row r="61" spans="1:2" x14ac:dyDescent="0.35">
      <c r="A61" s="1" t="s">
        <v>11</v>
      </c>
    </row>
    <row r="62" spans="1:2" x14ac:dyDescent="0.35">
      <c r="A62" t="s">
        <v>65</v>
      </c>
    </row>
    <row r="64" spans="1:2" x14ac:dyDescent="0.35">
      <c r="A64" s="1" t="s">
        <v>12</v>
      </c>
    </row>
    <row r="65" spans="1:1" x14ac:dyDescent="0.35">
      <c r="A65" t="s">
        <v>66</v>
      </c>
    </row>
    <row r="66" spans="1:1" x14ac:dyDescent="0.35">
      <c r="A66" t="s">
        <v>67</v>
      </c>
    </row>
    <row r="67" spans="1:1" x14ac:dyDescent="0.35">
      <c r="A67" t="s">
        <v>68</v>
      </c>
    </row>
    <row r="68" spans="1:1" x14ac:dyDescent="0.35">
      <c r="A68" t="s">
        <v>69</v>
      </c>
    </row>
    <row r="69" spans="1:1" x14ac:dyDescent="0.35">
      <c r="A69" t="s">
        <v>70</v>
      </c>
    </row>
    <row r="71" spans="1:1" x14ac:dyDescent="0.35">
      <c r="A71" t="s">
        <v>13</v>
      </c>
    </row>
    <row r="72" spans="1:1" x14ac:dyDescent="0.35">
      <c r="A72" s="1" t="s">
        <v>71</v>
      </c>
    </row>
    <row r="74" spans="1:1" x14ac:dyDescent="0.35">
      <c r="A74" s="1" t="s">
        <v>14</v>
      </c>
    </row>
    <row r="75" spans="1:1" x14ac:dyDescent="0.35">
      <c r="A75" t="s">
        <v>72</v>
      </c>
    </row>
    <row r="77" spans="1:1" x14ac:dyDescent="0.35">
      <c r="A77" s="1" t="s">
        <v>15</v>
      </c>
    </row>
    <row r="78" spans="1:1" x14ac:dyDescent="0.35">
      <c r="A78" t="s">
        <v>73</v>
      </c>
    </row>
    <row r="80" spans="1:1" x14ac:dyDescent="0.35">
      <c r="A80" s="1" t="s">
        <v>74</v>
      </c>
    </row>
    <row r="81" spans="1:1" x14ac:dyDescent="0.35">
      <c r="A81" t="s">
        <v>75</v>
      </c>
    </row>
    <row r="83" spans="1:1" x14ac:dyDescent="0.35">
      <c r="A83" s="1" t="s">
        <v>76</v>
      </c>
    </row>
    <row r="84" spans="1:1" x14ac:dyDescent="0.35">
      <c r="A84" t="s">
        <v>77</v>
      </c>
    </row>
  </sheetData>
  <printOptions horizontalCentered="1"/>
  <pageMargins left="0.7" right="0.7" top="1.27" bottom="0.75" header="0.3" footer="0.3"/>
  <pageSetup scale="98" fitToHeight="0" orientation="portrait" r:id="rId1"/>
  <headerFooter>
    <oddHeader>&amp;C&amp;"-,Bold"&amp;14RESTRICTED STOCK UNIT ALLOCATION&amp;"-,Regular"&amp;11
&amp;"-,Bold"WORKSHEET INSTRUCTIONS
&amp;K00-047[Updated January 30, 2026]</oddHeader>
    <oddFooter>&amp;LKoonsFuller, P.C.&amp;CPage &amp;P&amp;Rwww.KoonsFuller.com</oddFooter>
  </headerFooter>
  <rowBreaks count="1" manualBreakCount="1">
    <brk id="4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Worksheet</vt:lpstr>
      <vt:lpstr>Instructions</vt:lpstr>
      <vt:lpstr>DATE_OF_DIVISION</vt:lpstr>
      <vt:lpstr>DATE_OF_MARRIAGE</vt:lpstr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Daley</dc:creator>
  <cp:lastModifiedBy>Tom Daley</cp:lastModifiedBy>
  <cp:lastPrinted>2026-01-30T08:07:27Z</cp:lastPrinted>
  <dcterms:created xsi:type="dcterms:W3CDTF">2026-01-30T06:49:10Z</dcterms:created>
  <dcterms:modified xsi:type="dcterms:W3CDTF">2026-01-30T08:07:52Z</dcterms:modified>
</cp:coreProperties>
</file>